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10332" firstSheet="1" activeTab="1"/>
  </bookViews>
  <sheets>
    <sheet name="Sheet19" sheetId="19" state="hidden" r:id="rId1"/>
    <sheet name="Sheet20" sheetId="20" r:id="rId2"/>
  </sheets>
  <definedNames>
    <definedName name="_xlnm.Print_Area" localSheetId="1">Sheet20!$A$2:$L$47</definedName>
  </definedNames>
  <calcPr calcId="162913"/>
</workbook>
</file>

<file path=xl/calcChain.xml><?xml version="1.0" encoding="utf-8"?>
<calcChain xmlns="http://schemas.openxmlformats.org/spreadsheetml/2006/main">
  <c r="J9" i="20" l="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H27" i="20"/>
  <c r="H36" i="20"/>
  <c r="H9" i="20"/>
  <c r="H10" i="20"/>
  <c r="H11" i="20"/>
  <c r="H12" i="20"/>
  <c r="H14" i="20"/>
  <c r="H15" i="20"/>
  <c r="H16" i="20"/>
  <c r="H17" i="20"/>
  <c r="H18" i="20"/>
  <c r="H21" i="20"/>
  <c r="H22" i="20"/>
  <c r="H24" i="20"/>
  <c r="H25" i="20"/>
  <c r="H28" i="20"/>
  <c r="H29" i="20"/>
  <c r="H30" i="20"/>
  <c r="H33" i="20"/>
  <c r="H34" i="20"/>
  <c r="H35" i="20"/>
  <c r="K41" i="20" l="1"/>
  <c r="H8" i="20" l="1"/>
  <c r="J8" i="20" s="1"/>
  <c r="J41" i="20" l="1"/>
  <c r="H41" i="20" s="1"/>
  <c r="J42" i="20" l="1"/>
  <c r="B43" i="20" s="1"/>
</calcChain>
</file>

<file path=xl/sharedStrings.xml><?xml version="1.0" encoding="utf-8"?>
<sst xmlns="http://schemas.openxmlformats.org/spreadsheetml/2006/main" count="97" uniqueCount="40">
  <si>
    <t>REGON/SITE………………SOUTH WEST.</t>
  </si>
  <si>
    <t>DATE</t>
  </si>
  <si>
    <t>LTS</t>
  </si>
  <si>
    <t>MASAKA CENTRE</t>
  </si>
  <si>
    <t xml:space="preserve"> </t>
  </si>
  <si>
    <t>TPOWN/FUEL STATION</t>
  </si>
  <si>
    <t>FUEL(LTS)</t>
  </si>
  <si>
    <t>CONSUPTION:</t>
  </si>
  <si>
    <t>REVIEWED BY NAMES………………………………………………………SIGN………………………………DATE…………………OPERATIONS OFFICER</t>
  </si>
  <si>
    <t>PREPAED BY NAMES……WASSWA PAUL…….SIGN……………………………………………DATE………………………………………………………..</t>
  </si>
  <si>
    <t>GENERATOR  FUEL CONSUMPTION REPORT</t>
  </si>
  <si>
    <t>PERIOD (MONTH &amp; YEAR) MAY-AUG 2021</t>
  </si>
  <si>
    <t>GENERATOR</t>
  </si>
  <si>
    <t>HOURS AT START</t>
  </si>
  <si>
    <t>HOURS AT THE END</t>
  </si>
  <si>
    <t>HOURS CORVED</t>
  </si>
  <si>
    <t>CARD NUMBER 75310</t>
  </si>
  <si>
    <t xml:space="preserve">OPERATOR </t>
  </si>
  <si>
    <t>BANDA</t>
  </si>
  <si>
    <t>24/06/2021</t>
  </si>
  <si>
    <t>20/05/2021</t>
  </si>
  <si>
    <t>LITERS</t>
  </si>
  <si>
    <t>HRS</t>
  </si>
  <si>
    <r>
      <t>240/91=</t>
    </r>
    <r>
      <rPr>
        <b/>
        <sz val="18"/>
        <color theme="1"/>
        <rFont val="Calibri"/>
        <family val="2"/>
        <scheme val="minor"/>
      </rPr>
      <t>2.63</t>
    </r>
  </si>
  <si>
    <t>KITWE H/CIV</t>
  </si>
  <si>
    <t>VIRTUAL</t>
  </si>
  <si>
    <t>STABEX</t>
  </si>
  <si>
    <t>KITWE</t>
  </si>
  <si>
    <t>DDUMBA DAMIAN</t>
  </si>
  <si>
    <t>REVIEWED BY NAMES………………………………………………………SIGN………………………………DATE…………………</t>
  </si>
  <si>
    <t>DAMIAN DDUMBA</t>
  </si>
  <si>
    <t>CONSUMPTION</t>
  </si>
  <si>
    <t xml:space="preserve">PERIOD (MONTH&amp;YEAR) </t>
  </si>
  <si>
    <t>REGON/SITE……</t>
  </si>
  <si>
    <t>PREPARED BY NAMES………….SIGN……………………………………………DATE………………………………………………………..</t>
  </si>
  <si>
    <t>MINUTES</t>
  </si>
  <si>
    <t>18LTRS</t>
  </si>
  <si>
    <t>15LTRS</t>
  </si>
  <si>
    <t>AUGUST-OCTOBER 2025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</si>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</sst>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0.0"/>
  </numFmts>
  <fonts count="9" x14ac:knownFonts="1"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14" fontId="0" fillId="0" borderId="1" xfId="0" applyNumberFormat="1" applyFill="1" applyBorder="1"/>
    <xf numFmtId="0" fontId="0" fillId="0" borderId="2" xfId="0" applyBorder="1"/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" xfId="0" applyFont="1" applyBorder="1"/>
    <xf numFmtId="0" fontId="0" fillId="0" borderId="11" xfId="0" applyBorder="1"/>
    <xf numFmtId="0" fontId="0" fillId="0" borderId="11" xfId="0" applyBorder="1" applyAlignment="1"/>
    <xf numFmtId="0" fontId="0" fillId="0" borderId="11" xfId="0" applyBorder="1" applyAlignment="1">
      <alignment wrapText="1"/>
    </xf>
    <xf numFmtId="0" fontId="1" fillId="0" borderId="0" xfId="0" applyFont="1" applyBorder="1"/>
    <xf numFmtId="0" fontId="0" fillId="0" borderId="11" xfId="0" applyBorder="1" applyAlignment="1">
      <alignment horizontal="right"/>
    </xf>
    <xf numFmtId="0" fontId="3" fillId="0" borderId="0" xfId="0" applyFont="1" applyBorder="1"/>
    <xf numFmtId="0" fontId="0" fillId="0" borderId="12" xfId="0" applyBorder="1"/>
    <xf numFmtId="0" fontId="0" fillId="0" borderId="13" xfId="0" applyBorder="1"/>
    <xf numFmtId="0" fontId="0" fillId="3" borderId="10" xfId="0" applyFill="1" applyBorder="1"/>
    <xf numFmtId="0" fontId="4" fillId="3" borderId="10" xfId="0" applyFon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2" borderId="10" xfId="0" applyFill="1" applyBorder="1"/>
    <xf numFmtId="0" fontId="4" fillId="2" borderId="10" xfId="0" applyFont="1" applyFill="1" applyBorder="1"/>
    <xf numFmtId="17" fontId="0" fillId="0" borderId="0" xfId="0" applyNumberFormat="1" applyBorder="1"/>
    <xf numFmtId="20" fontId="0" fillId="0" borderId="1" xfId="0" applyNumberFormat="1" applyFill="1" applyBorder="1"/>
    <xf numFmtId="20" fontId="0" fillId="0" borderId="1" xfId="0" applyNumberFormat="1" applyFill="1" applyBorder="1" applyAlignment="1">
      <alignment horizontal="right"/>
    </xf>
    <xf numFmtId="20" fontId="0" fillId="0" borderId="1" xfId="0" applyNumberFormat="1" applyBorder="1"/>
    <xf numFmtId="0" fontId="0" fillId="0" borderId="10" xfId="0" applyBorder="1"/>
    <xf numFmtId="20" fontId="0" fillId="0" borderId="10" xfId="0" applyNumberFormat="1" applyBorder="1"/>
    <xf numFmtId="20" fontId="0" fillId="0" borderId="10" xfId="0" applyNumberFormat="1" applyFill="1" applyBorder="1" applyAlignment="1">
      <alignment horizontal="right"/>
    </xf>
    <xf numFmtId="0" fontId="4" fillId="0" borderId="4" xfId="0" applyFont="1" applyBorder="1"/>
    <xf numFmtId="0" fontId="4" fillId="0" borderId="6" xfId="0" applyFont="1" applyBorder="1"/>
    <xf numFmtId="0" fontId="4" fillId="0" borderId="9" xfId="0" applyFont="1" applyBorder="1"/>
    <xf numFmtId="0" fontId="4" fillId="0" borderId="1" xfId="0" applyFont="1" applyFill="1" applyBorder="1"/>
    <xf numFmtId="0" fontId="4" fillId="0" borderId="4" xfId="0" applyFont="1" applyFill="1" applyBorder="1"/>
    <xf numFmtId="0" fontId="4" fillId="0" borderId="6" xfId="0" applyFont="1" applyFill="1" applyBorder="1"/>
    <xf numFmtId="0" fontId="4" fillId="0" borderId="0" xfId="0" applyFont="1"/>
    <xf numFmtId="14" fontId="0" fillId="0" borderId="10" xfId="0" applyNumberFormat="1" applyBorder="1"/>
    <xf numFmtId="16" fontId="0" fillId="0" borderId="10" xfId="0" applyNumberFormat="1" applyBorder="1"/>
    <xf numFmtId="0" fontId="2" fillId="0" borderId="0" xfId="0" applyFont="1"/>
    <xf numFmtId="0" fontId="7" fillId="0" borderId="11" xfId="0" applyFont="1" applyFill="1" applyBorder="1"/>
    <xf numFmtId="0" fontId="7" fillId="0" borderId="11" xfId="0" applyFont="1" applyFill="1" applyBorder="1" applyAlignment="1"/>
    <xf numFmtId="0" fontId="7" fillId="0" borderId="11" xfId="0" applyFont="1" applyFill="1" applyBorder="1" applyAlignment="1">
      <alignment horizontal="right"/>
    </xf>
    <xf numFmtId="0" fontId="7" fillId="0" borderId="0" xfId="0" applyFont="1"/>
    <xf numFmtId="21" fontId="4" fillId="0" borderId="3" xfId="0" applyNumberFormat="1" applyFont="1" applyBorder="1"/>
    <xf numFmtId="21" fontId="0" fillId="0" borderId="0" xfId="0" applyNumberFormat="1" applyBorder="1"/>
    <xf numFmtId="21" fontId="0" fillId="0" borderId="8" xfId="0" applyNumberFormat="1" applyBorder="1"/>
    <xf numFmtId="21" fontId="7" fillId="0" borderId="11" xfId="0" applyNumberFormat="1" applyFont="1" applyFill="1" applyBorder="1" applyAlignment="1">
      <alignment wrapText="1"/>
    </xf>
    <xf numFmtId="21" fontId="0" fillId="0" borderId="3" xfId="0" applyNumberFormat="1" applyFill="1" applyBorder="1"/>
    <xf numFmtId="21" fontId="0" fillId="0" borderId="0" xfId="0" applyNumberFormat="1" applyFill="1" applyBorder="1"/>
    <xf numFmtId="21" fontId="0" fillId="0" borderId="0" xfId="0" applyNumberFormat="1"/>
    <xf numFmtId="0" fontId="8" fillId="0" borderId="11" xfId="0" applyFont="1" applyFill="1" applyBorder="1"/>
    <xf numFmtId="164" fontId="4" fillId="0" borderId="3" xfId="0" applyNumberFormat="1" applyFont="1" applyBorder="1"/>
    <xf numFmtId="164" fontId="0" fillId="0" borderId="0" xfId="0" applyNumberFormat="1" applyBorder="1"/>
    <xf numFmtId="164" fontId="0" fillId="0" borderId="8" xfId="0" applyNumberFormat="1" applyBorder="1"/>
    <xf numFmtId="164" fontId="7" fillId="0" borderId="11" xfId="0" applyNumberFormat="1" applyFont="1" applyFill="1" applyBorder="1" applyAlignment="1">
      <alignment wrapText="1"/>
    </xf>
    <xf numFmtId="164" fontId="2" fillId="2" borderId="10" xfId="0" applyNumberFormat="1" applyFont="1" applyFill="1" applyBorder="1"/>
    <xf numFmtId="164" fontId="0" fillId="0" borderId="3" xfId="0" applyNumberFormat="1" applyFill="1" applyBorder="1"/>
    <xf numFmtId="164" fontId="0" fillId="0" borderId="0" xfId="0" applyNumberFormat="1" applyFill="1" applyBorder="1"/>
    <xf numFmtId="164" fontId="0" fillId="0" borderId="0" xfId="0" applyNumberFormat="1"/>
    <xf numFmtId="20" fontId="7" fillId="0" borderId="1" xfId="0" applyNumberFormat="1" applyFont="1" applyFill="1" applyBorder="1" applyAlignment="1">
      <alignment horizontal="right"/>
    </xf>
    <xf numFmtId="1" fontId="0" fillId="0" borderId="0" xfId="0" applyNumberFormat="1"/>
    <xf numFmtId="21" fontId="0" fillId="0" borderId="1" xfId="0" applyNumberFormat="1" applyFill="1" applyBorder="1"/>
    <xf numFmtId="1" fontId="0" fillId="0" borderId="1" xfId="0" applyNumberFormat="1" applyFill="1" applyBorder="1"/>
    <xf numFmtId="1" fontId="0" fillId="2" borderId="10" xfId="0" applyNumberFormat="1" applyFill="1" applyBorder="1"/>
    <xf numFmtId="165" fontId="4" fillId="2" borderId="10" xfId="0" applyNumberFormat="1" applyFont="1" applyFill="1" applyBorder="1"/>
    <xf numFmtId="14" fontId="0" fillId="0" borderId="1" xfId="0" applyNumberFormat="1" applyFill="1" applyBorder="1" applyAlignment="1">
      <alignment horizontal="right"/>
    </xf>
    <xf numFmtId="21" fontId="0" fillId="0" borderId="10" xfId="0" applyNumberFormat="1" applyFill="1" applyBorder="1"/>
    <xf numFmtId="1" fontId="0" fillId="0" borderId="10" xfId="0" applyNumberFormat="1" applyFill="1" applyBorder="1"/>
    <xf numFmtId="0" fontId="4" fillId="0" borderId="1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N15" sqref="N15"/>
    </sheetView>
  </sheetViews>
  <sheetFormatPr defaultRowHeight="14.4" x14ac:dyDescent="0.3"/>
  <cols>
    <col min="1" max="1" width="13.109375" customWidth="1"/>
    <col min="5" max="5" width="9" customWidth="1"/>
    <col min="6" max="6" width="9.109375" hidden="1" customWidth="1"/>
    <col min="7" max="7" width="11.44140625" customWidth="1"/>
    <col min="8" max="8" width="12.6640625" customWidth="1"/>
    <col min="9" max="9" width="9.109375" hidden="1" customWidth="1"/>
    <col min="10" max="10" width="16.88671875" customWidth="1"/>
    <col min="11" max="11" width="9.109375" hidden="1" customWidth="1"/>
    <col min="12" max="12" width="0.33203125" customWidth="1"/>
    <col min="13" max="13" width="9.109375" hidden="1" customWidth="1"/>
    <col min="14" max="14" width="17.5546875" customWidth="1"/>
  </cols>
  <sheetData>
    <row r="1" spans="1:14" ht="18" x14ac:dyDescent="0.35">
      <c r="A1" s="6"/>
      <c r="B1" s="7"/>
      <c r="C1" s="7"/>
      <c r="D1" s="7"/>
      <c r="E1" s="8" t="s">
        <v>10</v>
      </c>
      <c r="F1" s="8"/>
      <c r="G1" s="8"/>
      <c r="H1" s="8"/>
      <c r="I1" s="8"/>
      <c r="J1" s="8"/>
      <c r="K1" s="7"/>
      <c r="L1" s="7"/>
      <c r="M1" s="7"/>
      <c r="N1" s="9"/>
    </row>
    <row r="2" spans="1:14" ht="28.5" customHeight="1" x14ac:dyDescent="0.3">
      <c r="A2" s="10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1"/>
    </row>
    <row r="3" spans="1:14" ht="28.5" customHeight="1" x14ac:dyDescent="0.3">
      <c r="A3" s="10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1"/>
    </row>
    <row r="4" spans="1:14" ht="24.75" customHeight="1" x14ac:dyDescent="0.3">
      <c r="A4" s="10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1"/>
    </row>
    <row r="5" spans="1:14" ht="24.75" customHeight="1" thickBot="1" x14ac:dyDescent="0.35">
      <c r="A5" s="22" t="s">
        <v>16</v>
      </c>
      <c r="B5" s="23">
        <v>75310</v>
      </c>
      <c r="C5" s="23"/>
      <c r="D5" s="23"/>
      <c r="E5" s="13"/>
      <c r="F5" s="13"/>
      <c r="G5" s="13"/>
      <c r="H5" s="13"/>
      <c r="I5" s="13"/>
      <c r="J5" s="13"/>
      <c r="K5" s="13"/>
      <c r="L5" s="13"/>
      <c r="M5" s="13"/>
      <c r="N5" s="11"/>
    </row>
    <row r="6" spans="1:14" ht="28.8" x14ac:dyDescent="0.3">
      <c r="A6" s="16" t="s">
        <v>1</v>
      </c>
      <c r="B6" s="17" t="s">
        <v>5</v>
      </c>
      <c r="C6" s="16"/>
      <c r="D6" s="16"/>
      <c r="E6" s="18" t="s">
        <v>13</v>
      </c>
      <c r="F6" s="16"/>
      <c r="G6" s="18" t="s">
        <v>14</v>
      </c>
      <c r="H6" s="16" t="s">
        <v>21</v>
      </c>
      <c r="I6" s="16"/>
      <c r="J6" s="18" t="s">
        <v>15</v>
      </c>
      <c r="K6" s="16"/>
      <c r="L6" s="16"/>
      <c r="M6" s="20" t="s">
        <v>2</v>
      </c>
      <c r="N6" s="1" t="s">
        <v>17</v>
      </c>
    </row>
    <row r="7" spans="1:14" x14ac:dyDescent="0.3">
      <c r="A7" s="2" t="s">
        <v>20</v>
      </c>
      <c r="B7" s="1" t="s">
        <v>3</v>
      </c>
      <c r="C7" s="1"/>
      <c r="D7" s="1"/>
      <c r="E7" s="1">
        <v>5759</v>
      </c>
      <c r="F7" s="1"/>
      <c r="G7" s="1">
        <v>5775</v>
      </c>
      <c r="H7" s="1">
        <v>60</v>
      </c>
      <c r="I7" s="1"/>
      <c r="J7" s="1">
        <v>16</v>
      </c>
      <c r="K7" s="1"/>
      <c r="L7" s="1"/>
      <c r="M7" s="1">
        <v>120</v>
      </c>
      <c r="N7" s="1" t="s">
        <v>18</v>
      </c>
    </row>
    <row r="8" spans="1:14" x14ac:dyDescent="0.3">
      <c r="A8" s="2" t="s">
        <v>19</v>
      </c>
      <c r="B8" s="1" t="s">
        <v>3</v>
      </c>
      <c r="C8" s="1"/>
      <c r="D8" s="1"/>
      <c r="E8" s="1">
        <v>5775</v>
      </c>
      <c r="F8" s="1"/>
      <c r="G8" s="1">
        <v>5790</v>
      </c>
      <c r="H8" s="1">
        <v>60</v>
      </c>
      <c r="I8" s="1"/>
      <c r="J8" s="1">
        <v>15</v>
      </c>
      <c r="K8" s="1"/>
      <c r="L8" s="1"/>
      <c r="M8" s="1">
        <v>80</v>
      </c>
      <c r="N8" s="1" t="s">
        <v>18</v>
      </c>
    </row>
    <row r="9" spans="1:14" x14ac:dyDescent="0.3">
      <c r="A9" s="2">
        <v>44384</v>
      </c>
      <c r="B9" s="1" t="s">
        <v>3</v>
      </c>
      <c r="C9" s="1"/>
      <c r="D9" s="1"/>
      <c r="E9" s="1">
        <v>5790</v>
      </c>
      <c r="F9" s="1"/>
      <c r="G9" s="1">
        <v>5821</v>
      </c>
      <c r="H9" s="1">
        <v>60</v>
      </c>
      <c r="I9" s="1"/>
      <c r="J9" s="1">
        <v>31</v>
      </c>
      <c r="K9" s="1"/>
      <c r="L9" s="1"/>
      <c r="M9" s="1">
        <v>300</v>
      </c>
      <c r="N9" s="1" t="s">
        <v>18</v>
      </c>
    </row>
    <row r="10" spans="1:14" x14ac:dyDescent="0.3">
      <c r="A10" s="2">
        <v>44355</v>
      </c>
      <c r="B10" s="1" t="s">
        <v>3</v>
      </c>
      <c r="C10" s="1"/>
      <c r="D10" s="1" t="s">
        <v>4</v>
      </c>
      <c r="E10" s="1">
        <v>5821</v>
      </c>
      <c r="F10" s="1"/>
      <c r="G10" s="1">
        <v>5850</v>
      </c>
      <c r="H10" s="1">
        <v>60</v>
      </c>
      <c r="I10" s="1"/>
      <c r="J10" s="1">
        <v>29</v>
      </c>
      <c r="K10" s="1"/>
      <c r="L10" s="1"/>
      <c r="M10" s="1"/>
      <c r="N10" s="15" t="s">
        <v>18</v>
      </c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3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0.5" customHeight="1" thickBot="1" x14ac:dyDescent="0.4">
      <c r="A19" s="24"/>
      <c r="B19" s="24"/>
      <c r="C19" s="24"/>
      <c r="D19" s="24"/>
      <c r="E19" s="24"/>
      <c r="F19" s="24"/>
      <c r="G19" s="24"/>
      <c r="H19" s="24">
        <v>240</v>
      </c>
      <c r="I19" s="24"/>
      <c r="J19" s="25">
        <v>91</v>
      </c>
      <c r="K19" s="24"/>
      <c r="L19" s="24"/>
      <c r="M19" s="25">
        <v>500</v>
      </c>
      <c r="N19" s="24" t="s">
        <v>18</v>
      </c>
    </row>
    <row r="20" spans="1:14" x14ac:dyDescent="0.3">
      <c r="A20" s="6" t="s">
        <v>7</v>
      </c>
      <c r="B20" s="7"/>
      <c r="C20" s="7"/>
      <c r="D20" s="7"/>
      <c r="E20" s="7"/>
      <c r="F20" s="7"/>
      <c r="G20" s="7" t="s">
        <v>22</v>
      </c>
      <c r="H20" s="7"/>
      <c r="I20" s="7"/>
      <c r="J20" s="7"/>
      <c r="K20" s="7"/>
      <c r="L20" s="7"/>
      <c r="M20" s="7"/>
      <c r="N20" s="9"/>
    </row>
    <row r="21" spans="1:14" ht="23.4" x14ac:dyDescent="0.45">
      <c r="A21" s="10"/>
      <c r="B21" s="21" t="s">
        <v>23</v>
      </c>
      <c r="C21" s="19"/>
      <c r="D21" s="4"/>
      <c r="E21" s="4"/>
      <c r="F21" s="4"/>
      <c r="G21" s="4" t="s">
        <v>6</v>
      </c>
      <c r="H21" s="4"/>
      <c r="I21" s="4"/>
      <c r="J21" s="4"/>
      <c r="K21" s="4"/>
      <c r="L21" s="4"/>
      <c r="M21" s="4"/>
      <c r="N21" s="11"/>
    </row>
    <row r="22" spans="1:14" x14ac:dyDescent="0.3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1"/>
    </row>
    <row r="23" spans="1:14" ht="36" customHeight="1" x14ac:dyDescent="0.3">
      <c r="A23" s="10" t="s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1"/>
    </row>
    <row r="24" spans="1:14" x14ac:dyDescent="0.3">
      <c r="A24" s="10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1"/>
    </row>
    <row r="25" spans="1:14" ht="19.5" customHeight="1" x14ac:dyDescent="0.3">
      <c r="A25" s="10" t="s">
        <v>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1"/>
    </row>
    <row r="26" spans="1:14" ht="15" thickBot="1" x14ac:dyDescent="0.3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"/>
  <sheetViews>
    <sheetView showGridLines="0" tabSelected="1" topLeftCell="A29" workbookViewId="0">
      <selection activeCell="K10" sqref="K10"/>
    </sheetView>
  </sheetViews>
  <sheetFormatPr defaultRowHeight="18" x14ac:dyDescent="0.35"/>
  <cols>
    <col min="1" max="1" width="22.88671875" customWidth="1"/>
    <col min="5" max="5" width="10.33203125" style="69" bestFit="1" customWidth="1"/>
    <col min="6" max="6" width="20.88671875" style="69" customWidth="1"/>
    <col min="7" max="7" width="12.44140625" hidden="1" customWidth="1"/>
    <col min="8" max="8" width="17.77734375" style="60" customWidth="1"/>
    <col min="9" max="9" width="13.6640625" hidden="1" customWidth="1"/>
    <col min="10" max="10" width="13.109375" hidden="1" customWidth="1"/>
    <col min="11" max="11" width="7.44140625" customWidth="1"/>
    <col min="12" max="12" width="23.88671875" style="46" customWidth="1"/>
  </cols>
  <sheetData>
    <row r="1" spans="1:13" ht="18.600000000000001" hidden="1" thickBot="1" x14ac:dyDescent="0.4">
      <c r="A1" s="6"/>
      <c r="B1" s="7"/>
      <c r="C1" s="7"/>
      <c r="D1" s="7"/>
      <c r="E1" s="62" t="s">
        <v>10</v>
      </c>
      <c r="F1" s="62"/>
      <c r="G1" s="8"/>
      <c r="H1" s="54"/>
      <c r="I1" s="7"/>
      <c r="J1" s="7"/>
      <c r="K1" s="7"/>
      <c r="L1" s="40"/>
    </row>
    <row r="2" spans="1:13" ht="34.5" customHeight="1" x14ac:dyDescent="0.35">
      <c r="A2" s="6"/>
      <c r="B2" s="7"/>
      <c r="C2" s="7"/>
      <c r="D2" s="7"/>
      <c r="E2" s="62" t="s">
        <v>10</v>
      </c>
      <c r="F2" s="62"/>
      <c r="G2" s="8"/>
      <c r="H2" s="54"/>
      <c r="I2" s="7"/>
      <c r="J2" s="7"/>
      <c r="K2" s="7"/>
      <c r="L2" s="40"/>
    </row>
    <row r="3" spans="1:13" x14ac:dyDescent="0.35">
      <c r="A3" s="10" t="s">
        <v>33</v>
      </c>
      <c r="B3" s="4" t="s">
        <v>24</v>
      </c>
      <c r="C3" s="4"/>
      <c r="D3" s="4"/>
      <c r="E3" s="63"/>
      <c r="F3" s="63"/>
      <c r="G3" s="4"/>
      <c r="H3" s="55"/>
      <c r="I3" s="4"/>
      <c r="J3" s="4"/>
      <c r="K3" s="4"/>
      <c r="L3" s="41"/>
    </row>
    <row r="4" spans="1:13" ht="24" customHeight="1" x14ac:dyDescent="0.35">
      <c r="A4" s="10" t="s">
        <v>32</v>
      </c>
      <c r="B4" s="33" t="s">
        <v>38</v>
      </c>
      <c r="C4" s="4"/>
      <c r="D4" s="4"/>
      <c r="E4" s="63"/>
      <c r="F4" s="63"/>
      <c r="G4" s="4"/>
      <c r="H4" s="55"/>
      <c r="I4" s="4"/>
      <c r="J4" s="4"/>
      <c r="K4" s="4"/>
      <c r="L4" s="41"/>
    </row>
    <row r="5" spans="1:13" ht="21.75" customHeight="1" x14ac:dyDescent="0.35">
      <c r="A5" s="10" t="s">
        <v>12</v>
      </c>
      <c r="B5" s="4"/>
      <c r="C5" s="4"/>
      <c r="D5" s="4"/>
      <c r="E5" s="63"/>
      <c r="F5" s="63"/>
      <c r="G5" s="4"/>
      <c r="H5" s="55"/>
      <c r="I5" s="4"/>
      <c r="J5" s="4"/>
      <c r="K5" s="4"/>
      <c r="L5" s="41"/>
    </row>
    <row r="6" spans="1:13" ht="24.75" customHeight="1" thickBot="1" x14ac:dyDescent="0.4">
      <c r="A6" s="12" t="s">
        <v>25</v>
      </c>
      <c r="B6" s="13"/>
      <c r="C6" s="13"/>
      <c r="D6" s="13"/>
      <c r="E6" s="64"/>
      <c r="F6" s="64"/>
      <c r="G6" s="13"/>
      <c r="H6" s="56"/>
      <c r="I6" s="13"/>
      <c r="J6" s="13"/>
      <c r="K6" s="13"/>
      <c r="L6" s="42"/>
    </row>
    <row r="7" spans="1:13" s="53" customFormat="1" ht="29.4" x14ac:dyDescent="0.35">
      <c r="A7" s="50" t="s">
        <v>1</v>
      </c>
      <c r="B7" s="51" t="s">
        <v>5</v>
      </c>
      <c r="C7" s="50"/>
      <c r="D7" s="50"/>
      <c r="E7" s="65" t="s">
        <v>13</v>
      </c>
      <c r="F7" s="65" t="s">
        <v>14</v>
      </c>
      <c r="G7" s="50" t="s">
        <v>21</v>
      </c>
      <c r="H7" s="57" t="s">
        <v>15</v>
      </c>
      <c r="I7" s="50"/>
      <c r="J7" s="50" t="s">
        <v>35</v>
      </c>
      <c r="K7" s="52" t="s">
        <v>39</v>
      </c>
      <c r="L7" s="61" t="s">
        <v>17</v>
      </c>
    </row>
    <row r="8" spans="1:13" ht="24" customHeight="1" x14ac:dyDescent="0.35">
      <c r="A8" s="76">
        <v>45882</v>
      </c>
      <c r="B8" s="3"/>
      <c r="C8" s="3"/>
      <c r="D8" s="3"/>
      <c r="E8" s="34">
        <v>0.44444444444444442</v>
      </c>
      <c r="F8" s="70">
        <v>0.46180555555555558</v>
      </c>
      <c r="G8" s="3">
        <v>60</v>
      </c>
      <c r="H8" s="72">
        <f t="shared" ref="H8:H36" si="0">F8-E8</f>
        <v>1.736111111111116E-2</v>
      </c>
      <c r="I8" s="3"/>
      <c r="J8" s="73">
        <f>H8*1440</f>
        <v>25.000000000000071</v>
      </c>
      <c r="K8" s="3"/>
      <c r="L8" s="43" t="s">
        <v>30</v>
      </c>
      <c r="M8" s="71"/>
    </row>
    <row r="9" spans="1:13" ht="25.5" customHeight="1" x14ac:dyDescent="0.35">
      <c r="A9" s="5">
        <v>45882</v>
      </c>
      <c r="B9" s="3"/>
      <c r="C9" s="3"/>
      <c r="D9" s="3"/>
      <c r="E9" s="35">
        <v>0.1125</v>
      </c>
      <c r="F9" s="35">
        <v>0.17500000000000002</v>
      </c>
      <c r="G9" s="3">
        <v>60</v>
      </c>
      <c r="H9" s="72">
        <f t="shared" si="0"/>
        <v>6.2500000000000014E-2</v>
      </c>
      <c r="I9" s="3"/>
      <c r="J9" s="73">
        <f t="shared" ref="J9:J36" si="1">H9*1440</f>
        <v>90.000000000000014</v>
      </c>
      <c r="K9" s="3"/>
      <c r="L9" s="43" t="s">
        <v>30</v>
      </c>
      <c r="M9" s="71"/>
    </row>
    <row r="10" spans="1:13" ht="26.25" customHeight="1" x14ac:dyDescent="0.35">
      <c r="A10" s="5">
        <v>45888</v>
      </c>
      <c r="B10" s="3"/>
      <c r="C10" s="3"/>
      <c r="D10" s="3"/>
      <c r="E10" s="34">
        <v>0.38472222222222219</v>
      </c>
      <c r="F10" s="35">
        <v>0.4368055555555555</v>
      </c>
      <c r="G10" s="3">
        <v>60</v>
      </c>
      <c r="H10" s="72">
        <f t="shared" si="0"/>
        <v>5.2083333333333315E-2</v>
      </c>
      <c r="I10" s="3"/>
      <c r="J10" s="73">
        <f t="shared" si="1"/>
        <v>74.999999999999972</v>
      </c>
      <c r="K10" s="3"/>
      <c r="L10" s="43" t="s">
        <v>30</v>
      </c>
    </row>
    <row r="11" spans="1:13" x14ac:dyDescent="0.35">
      <c r="A11" s="5">
        <v>45901</v>
      </c>
      <c r="B11" s="3"/>
      <c r="C11" s="3"/>
      <c r="D11" s="3" t="s">
        <v>4</v>
      </c>
      <c r="E11" s="34">
        <v>0.4236111111111111</v>
      </c>
      <c r="F11" s="35">
        <v>0.47916666666666669</v>
      </c>
      <c r="G11" s="3">
        <v>60</v>
      </c>
      <c r="H11" s="72">
        <f t="shared" si="0"/>
        <v>5.555555555555558E-2</v>
      </c>
      <c r="I11" s="3"/>
      <c r="J11" s="73">
        <f t="shared" si="1"/>
        <v>80.000000000000028</v>
      </c>
      <c r="K11" s="3"/>
      <c r="L11" s="43" t="s">
        <v>30</v>
      </c>
    </row>
    <row r="12" spans="1:13" x14ac:dyDescent="0.35">
      <c r="A12" s="2">
        <v>45903</v>
      </c>
      <c r="B12" s="1"/>
      <c r="C12" s="1"/>
      <c r="D12" s="1"/>
      <c r="E12" s="36">
        <v>0.38194444444444442</v>
      </c>
      <c r="F12" s="35">
        <v>0.40277777777777773</v>
      </c>
      <c r="G12" s="1"/>
      <c r="H12" s="72">
        <f t="shared" si="0"/>
        <v>2.0833333333333315E-2</v>
      </c>
      <c r="I12" s="1"/>
      <c r="J12" s="73">
        <f t="shared" si="1"/>
        <v>29.999999999999972</v>
      </c>
      <c r="K12" s="1"/>
      <c r="L12" s="43" t="s">
        <v>30</v>
      </c>
    </row>
    <row r="13" spans="1:13" x14ac:dyDescent="0.35">
      <c r="A13" s="2">
        <v>45905</v>
      </c>
      <c r="B13" s="1"/>
      <c r="C13" s="1"/>
      <c r="D13" s="1"/>
      <c r="E13" s="36">
        <v>0.4201388888888889</v>
      </c>
      <c r="F13" s="35">
        <v>8.819444444444445E-2</v>
      </c>
      <c r="G13" s="1"/>
      <c r="H13" s="72">
        <v>0.16805555555555554</v>
      </c>
      <c r="I13" s="1"/>
      <c r="J13" s="73">
        <f t="shared" si="1"/>
        <v>241.99999999999997</v>
      </c>
      <c r="K13" s="1"/>
      <c r="L13" s="43" t="s">
        <v>30</v>
      </c>
    </row>
    <row r="14" spans="1:13" x14ac:dyDescent="0.35">
      <c r="A14" s="2">
        <v>45915</v>
      </c>
      <c r="B14" s="1"/>
      <c r="C14" s="1"/>
      <c r="D14" s="1"/>
      <c r="E14" s="36">
        <v>0.36874999999999997</v>
      </c>
      <c r="F14" s="35">
        <v>0.43958333333333338</v>
      </c>
      <c r="G14" s="1"/>
      <c r="H14" s="72">
        <f t="shared" si="0"/>
        <v>7.0833333333333415E-2</v>
      </c>
      <c r="I14" s="1"/>
      <c r="J14" s="73">
        <f t="shared" si="1"/>
        <v>102.00000000000011</v>
      </c>
      <c r="K14" s="1"/>
      <c r="L14" s="43" t="s">
        <v>30</v>
      </c>
    </row>
    <row r="15" spans="1:13" ht="1.5" customHeight="1" x14ac:dyDescent="0.35">
      <c r="A15" s="1"/>
      <c r="B15" s="1"/>
      <c r="C15" s="1"/>
      <c r="D15" s="1"/>
      <c r="E15" s="36"/>
      <c r="F15" s="35"/>
      <c r="G15" s="1"/>
      <c r="H15" s="72">
        <f t="shared" si="0"/>
        <v>0</v>
      </c>
      <c r="I15" s="1"/>
      <c r="J15" s="73">
        <f t="shared" si="1"/>
        <v>0</v>
      </c>
      <c r="K15" s="1"/>
      <c r="L15" s="43" t="s">
        <v>30</v>
      </c>
    </row>
    <row r="16" spans="1:13" hidden="1" x14ac:dyDescent="0.35">
      <c r="A16" s="1"/>
      <c r="B16" s="1"/>
      <c r="C16" s="1"/>
      <c r="D16" s="1"/>
      <c r="E16" s="36"/>
      <c r="F16" s="35">
        <v>0.54583333333333295</v>
      </c>
      <c r="G16" s="1"/>
      <c r="H16" s="72">
        <f t="shared" si="0"/>
        <v>0.54583333333333295</v>
      </c>
      <c r="I16" s="1"/>
      <c r="J16" s="73">
        <f t="shared" si="1"/>
        <v>785.99999999999943</v>
      </c>
      <c r="K16" s="1"/>
      <c r="L16" s="43" t="s">
        <v>30</v>
      </c>
    </row>
    <row r="17" spans="1:12" hidden="1" x14ac:dyDescent="0.35">
      <c r="A17" s="1"/>
      <c r="B17" s="1"/>
      <c r="C17" s="1"/>
      <c r="D17" s="1"/>
      <c r="E17" s="36"/>
      <c r="F17" s="35">
        <v>0.58750000000000002</v>
      </c>
      <c r="G17" s="1"/>
      <c r="H17" s="72">
        <f t="shared" si="0"/>
        <v>0.58750000000000002</v>
      </c>
      <c r="I17" s="1"/>
      <c r="J17" s="73">
        <f t="shared" si="1"/>
        <v>846</v>
      </c>
      <c r="K17" s="1"/>
      <c r="L17" s="43" t="s">
        <v>30</v>
      </c>
    </row>
    <row r="18" spans="1:12" x14ac:dyDescent="0.35">
      <c r="A18" s="2">
        <v>45916</v>
      </c>
      <c r="B18" s="1" t="s">
        <v>27</v>
      </c>
      <c r="C18" s="1" t="s">
        <v>26</v>
      </c>
      <c r="D18" s="1"/>
      <c r="E18" s="36">
        <v>0.33611111111111108</v>
      </c>
      <c r="F18" s="35">
        <v>0.36458333333333331</v>
      </c>
      <c r="G18" s="1"/>
      <c r="H18" s="72">
        <f t="shared" si="0"/>
        <v>2.8472222222222232E-2</v>
      </c>
      <c r="I18" s="1"/>
      <c r="J18" s="73">
        <f t="shared" si="1"/>
        <v>41.000000000000014</v>
      </c>
      <c r="K18" s="1" t="s">
        <v>36</v>
      </c>
      <c r="L18" s="43" t="s">
        <v>30</v>
      </c>
    </row>
    <row r="19" spans="1:12" x14ac:dyDescent="0.35">
      <c r="A19" s="2">
        <v>45918</v>
      </c>
      <c r="B19" s="1"/>
      <c r="C19" s="1"/>
      <c r="D19" s="1"/>
      <c r="E19" s="36">
        <v>0.4236111111111111</v>
      </c>
      <c r="F19" s="35">
        <v>0.10416666666666667</v>
      </c>
      <c r="G19" s="1"/>
      <c r="H19" s="72">
        <v>0.18055555555555555</v>
      </c>
      <c r="I19" s="1"/>
      <c r="J19" s="73">
        <f t="shared" si="1"/>
        <v>260</v>
      </c>
      <c r="K19" s="1"/>
      <c r="L19" s="43" t="s">
        <v>30</v>
      </c>
    </row>
    <row r="20" spans="1:12" x14ac:dyDescent="0.35">
      <c r="A20" s="2">
        <v>45919</v>
      </c>
      <c r="B20" s="1"/>
      <c r="C20" s="1"/>
      <c r="D20" s="1"/>
      <c r="E20" s="36">
        <v>0.51944444444444449</v>
      </c>
      <c r="F20" s="35">
        <v>7.9861111111111105E-2</v>
      </c>
      <c r="G20" s="1"/>
      <c r="H20" s="72">
        <v>6.0416666666666667E-2</v>
      </c>
      <c r="I20" s="1"/>
      <c r="J20" s="73">
        <f t="shared" si="1"/>
        <v>87</v>
      </c>
      <c r="K20" s="1"/>
      <c r="L20" s="43" t="s">
        <v>30</v>
      </c>
    </row>
    <row r="21" spans="1:12" x14ac:dyDescent="0.35">
      <c r="A21" s="2">
        <v>45925</v>
      </c>
      <c r="B21" s="1"/>
      <c r="C21" s="1"/>
      <c r="D21" s="1"/>
      <c r="E21" s="36">
        <v>0.38125000000000003</v>
      </c>
      <c r="F21" s="35">
        <v>0.45833333333333331</v>
      </c>
      <c r="G21" s="1"/>
      <c r="H21" s="72">
        <f t="shared" si="0"/>
        <v>7.7083333333333282E-2</v>
      </c>
      <c r="I21" s="1"/>
      <c r="J21" s="73">
        <f t="shared" si="1"/>
        <v>110.99999999999993</v>
      </c>
      <c r="K21" s="1"/>
      <c r="L21" s="43" t="s">
        <v>30</v>
      </c>
    </row>
    <row r="22" spans="1:12" x14ac:dyDescent="0.35">
      <c r="A22" s="47">
        <v>45930</v>
      </c>
      <c r="B22" s="37"/>
      <c r="C22" s="37"/>
      <c r="D22" s="37"/>
      <c r="E22" s="38">
        <v>0.40902777777777777</v>
      </c>
      <c r="F22" s="39">
        <v>0.49374999999999997</v>
      </c>
      <c r="G22" s="37"/>
      <c r="H22" s="72">
        <f t="shared" si="0"/>
        <v>8.4722222222222199E-2</v>
      </c>
      <c r="I22" s="37"/>
      <c r="J22" s="73">
        <f t="shared" si="1"/>
        <v>121.99999999999997</v>
      </c>
      <c r="K22" s="37"/>
      <c r="L22" s="43" t="s">
        <v>30</v>
      </c>
    </row>
    <row r="23" spans="1:12" x14ac:dyDescent="0.35">
      <c r="A23" s="47">
        <v>45930</v>
      </c>
      <c r="B23" s="37"/>
      <c r="C23" s="37"/>
      <c r="D23" s="37"/>
      <c r="E23" s="38">
        <v>0.51458333333333328</v>
      </c>
      <c r="F23" s="39">
        <v>8.3333333333333329E-2</v>
      </c>
      <c r="G23" s="37"/>
      <c r="H23" s="72">
        <v>4.7916666666666663E-2</v>
      </c>
      <c r="I23" s="37"/>
      <c r="J23" s="73">
        <f t="shared" si="1"/>
        <v>69</v>
      </c>
      <c r="K23" s="37"/>
      <c r="L23" s="43" t="s">
        <v>30</v>
      </c>
    </row>
    <row r="24" spans="1:12" x14ac:dyDescent="0.35">
      <c r="A24" s="47">
        <v>45930</v>
      </c>
      <c r="B24" s="37"/>
      <c r="C24" s="37"/>
      <c r="D24" s="37"/>
      <c r="E24" s="38">
        <v>9.5138888888888884E-2</v>
      </c>
      <c r="F24" s="39">
        <v>0.16111111111111112</v>
      </c>
      <c r="G24" s="37"/>
      <c r="H24" s="72">
        <f t="shared" si="0"/>
        <v>6.5972222222222238E-2</v>
      </c>
      <c r="I24" s="37"/>
      <c r="J24" s="73">
        <f t="shared" si="1"/>
        <v>95.000000000000028</v>
      </c>
      <c r="K24" s="37"/>
      <c r="L24" s="43" t="s">
        <v>30</v>
      </c>
    </row>
    <row r="25" spans="1:12" x14ac:dyDescent="0.35">
      <c r="A25" s="47">
        <v>45930</v>
      </c>
      <c r="B25" s="37" t="s">
        <v>27</v>
      </c>
      <c r="C25" s="37" t="s">
        <v>26</v>
      </c>
      <c r="D25" s="37"/>
      <c r="E25" s="38">
        <v>0.17361111111111113</v>
      </c>
      <c r="F25" s="39">
        <v>0.19097222222222221</v>
      </c>
      <c r="G25" s="37"/>
      <c r="H25" s="72">
        <f t="shared" si="0"/>
        <v>1.7361111111111077E-2</v>
      </c>
      <c r="I25" s="37"/>
      <c r="J25" s="73">
        <f t="shared" si="1"/>
        <v>24.99999999999995</v>
      </c>
      <c r="K25" s="37" t="s">
        <v>37</v>
      </c>
      <c r="L25" s="43" t="s">
        <v>30</v>
      </c>
    </row>
    <row r="26" spans="1:12" x14ac:dyDescent="0.35">
      <c r="A26" s="48">
        <v>45931</v>
      </c>
      <c r="B26" s="37"/>
      <c r="C26" s="37"/>
      <c r="D26" s="37"/>
      <c r="E26" s="38">
        <v>0.35416666666666669</v>
      </c>
      <c r="F26" s="39">
        <v>9.375E-2</v>
      </c>
      <c r="G26" s="37"/>
      <c r="H26" s="72">
        <v>0.28125</v>
      </c>
      <c r="I26" s="37"/>
      <c r="J26" s="73">
        <f t="shared" si="1"/>
        <v>405</v>
      </c>
      <c r="K26" s="37"/>
      <c r="L26" s="43" t="s">
        <v>30</v>
      </c>
    </row>
    <row r="27" spans="1:12" x14ac:dyDescent="0.35">
      <c r="A27" s="47">
        <v>45931</v>
      </c>
      <c r="B27" s="37"/>
      <c r="C27" s="37"/>
      <c r="D27" s="37"/>
      <c r="E27" s="38">
        <v>0.125</v>
      </c>
      <c r="F27" s="39">
        <v>0.1388888888888889</v>
      </c>
      <c r="G27" s="37"/>
      <c r="H27" s="72">
        <f>F27-E27</f>
        <v>1.3888888888888895E-2</v>
      </c>
      <c r="I27" s="37"/>
      <c r="J27" s="73">
        <f t="shared" si="1"/>
        <v>20.000000000000007</v>
      </c>
      <c r="K27" s="37"/>
      <c r="L27" s="43" t="s">
        <v>30</v>
      </c>
    </row>
    <row r="28" spans="1:12" x14ac:dyDescent="0.35">
      <c r="A28" s="47">
        <v>45931</v>
      </c>
      <c r="B28" s="37"/>
      <c r="C28" s="37"/>
      <c r="D28" s="37"/>
      <c r="E28" s="38">
        <v>0.15277777777777776</v>
      </c>
      <c r="F28" s="39">
        <v>0.21527777777777779</v>
      </c>
      <c r="G28" s="37"/>
      <c r="H28" s="72">
        <f t="shared" si="0"/>
        <v>6.2500000000000028E-2</v>
      </c>
      <c r="I28" s="37"/>
      <c r="J28" s="73">
        <f t="shared" si="1"/>
        <v>90.000000000000043</v>
      </c>
      <c r="K28" s="37"/>
      <c r="L28" s="43" t="s">
        <v>30</v>
      </c>
    </row>
    <row r="29" spans="1:12" x14ac:dyDescent="0.35">
      <c r="A29" s="47">
        <v>45932</v>
      </c>
      <c r="B29" s="37"/>
      <c r="C29" s="37"/>
      <c r="D29" s="37"/>
      <c r="E29" s="38">
        <v>0.34097222222222223</v>
      </c>
      <c r="F29" s="39">
        <v>0.44027777777777777</v>
      </c>
      <c r="G29" s="37"/>
      <c r="H29" s="72">
        <f t="shared" si="0"/>
        <v>9.9305555555555536E-2</v>
      </c>
      <c r="I29" s="37"/>
      <c r="J29" s="73">
        <f t="shared" si="1"/>
        <v>142.99999999999997</v>
      </c>
      <c r="K29" s="37"/>
      <c r="L29" s="43" t="s">
        <v>30</v>
      </c>
    </row>
    <row r="30" spans="1:12" x14ac:dyDescent="0.35">
      <c r="A30" s="47">
        <v>45933</v>
      </c>
      <c r="B30" s="37" t="s">
        <v>27</v>
      </c>
      <c r="C30" s="37" t="s">
        <v>26</v>
      </c>
      <c r="D30" s="37"/>
      <c r="E30" s="38">
        <v>0.34375</v>
      </c>
      <c r="F30" s="39">
        <v>0.39583333333333331</v>
      </c>
      <c r="G30" s="37"/>
      <c r="H30" s="72">
        <f t="shared" si="0"/>
        <v>5.2083333333333315E-2</v>
      </c>
      <c r="I30" s="37"/>
      <c r="J30" s="73">
        <f t="shared" si="1"/>
        <v>74.999999999999972</v>
      </c>
      <c r="K30" s="37" t="s">
        <v>37</v>
      </c>
      <c r="L30" s="43" t="s">
        <v>30</v>
      </c>
    </row>
    <row r="31" spans="1:12" x14ac:dyDescent="0.35">
      <c r="A31" s="47">
        <v>45933</v>
      </c>
      <c r="B31" s="37"/>
      <c r="C31" s="37"/>
      <c r="D31" s="37"/>
      <c r="E31" s="38">
        <v>0.41666666666666669</v>
      </c>
      <c r="F31" s="39">
        <v>0.20138888888888887</v>
      </c>
      <c r="G31" s="37"/>
      <c r="H31" s="72">
        <v>0.28472222222222221</v>
      </c>
      <c r="I31" s="37"/>
      <c r="J31" s="73">
        <f t="shared" si="1"/>
        <v>410</v>
      </c>
      <c r="K31" s="37"/>
      <c r="L31" s="43" t="s">
        <v>30</v>
      </c>
    </row>
    <row r="32" spans="1:12" x14ac:dyDescent="0.35">
      <c r="A32" s="47">
        <v>45937</v>
      </c>
      <c r="B32" s="37"/>
      <c r="C32" s="37"/>
      <c r="D32" s="37"/>
      <c r="E32" s="38">
        <v>0.46527777777777773</v>
      </c>
      <c r="F32" s="39">
        <v>4.5138888888888888E-2</v>
      </c>
      <c r="G32" s="37"/>
      <c r="H32" s="72">
        <v>7.9861111111111105E-2</v>
      </c>
      <c r="I32" s="37"/>
      <c r="J32" s="73">
        <f t="shared" si="1"/>
        <v>114.99999999999999</v>
      </c>
      <c r="K32" s="37"/>
      <c r="L32" s="43" t="s">
        <v>30</v>
      </c>
    </row>
    <row r="33" spans="1:12" x14ac:dyDescent="0.35">
      <c r="A33" s="47">
        <v>45943</v>
      </c>
      <c r="B33" s="38" t="s">
        <v>27</v>
      </c>
      <c r="C33" s="37" t="s">
        <v>26</v>
      </c>
      <c r="D33" s="37"/>
      <c r="E33" s="38">
        <v>0.41111111111111115</v>
      </c>
      <c r="F33" s="39">
        <v>0.4368055555555555</v>
      </c>
      <c r="G33" s="37"/>
      <c r="H33" s="72">
        <f t="shared" si="0"/>
        <v>2.5694444444444353E-2</v>
      </c>
      <c r="I33" s="37"/>
      <c r="J33" s="73">
        <f t="shared" si="1"/>
        <v>36.999999999999872</v>
      </c>
      <c r="K33" s="37" t="s">
        <v>37</v>
      </c>
      <c r="L33" s="43" t="s">
        <v>30</v>
      </c>
    </row>
    <row r="34" spans="1:12" x14ac:dyDescent="0.35">
      <c r="A34" s="47">
        <v>45943</v>
      </c>
      <c r="B34" s="38"/>
      <c r="C34" s="37"/>
      <c r="D34" s="37"/>
      <c r="E34" s="38">
        <v>5.9027777777777783E-2</v>
      </c>
      <c r="F34" s="39">
        <v>8.3333333333333329E-2</v>
      </c>
      <c r="G34" s="37"/>
      <c r="H34" s="72">
        <f t="shared" si="0"/>
        <v>2.4305555555555546E-2</v>
      </c>
      <c r="I34" s="37"/>
      <c r="J34" s="73">
        <f t="shared" si="1"/>
        <v>34.999999999999986</v>
      </c>
      <c r="K34" s="37"/>
      <c r="L34" s="43" t="s">
        <v>30</v>
      </c>
    </row>
    <row r="35" spans="1:12" x14ac:dyDescent="0.35">
      <c r="A35" s="47">
        <v>45943</v>
      </c>
      <c r="B35" s="38"/>
      <c r="C35" s="37"/>
      <c r="D35" s="37"/>
      <c r="E35" s="38">
        <v>0.1173611111111111</v>
      </c>
      <c r="F35" s="39">
        <v>0.18055555555555555</v>
      </c>
      <c r="G35" s="37"/>
      <c r="H35" s="72">
        <f t="shared" si="0"/>
        <v>6.3194444444444456E-2</v>
      </c>
      <c r="I35" s="37"/>
      <c r="J35" s="73">
        <f t="shared" si="1"/>
        <v>91.000000000000014</v>
      </c>
      <c r="K35" s="37"/>
      <c r="L35" s="43" t="s">
        <v>30</v>
      </c>
    </row>
    <row r="36" spans="1:12" x14ac:dyDescent="0.35">
      <c r="A36" s="47">
        <v>45944</v>
      </c>
      <c r="B36" s="37"/>
      <c r="C36" s="37"/>
      <c r="D36" s="37"/>
      <c r="E36" s="38">
        <v>9.7222222222222224E-2</v>
      </c>
      <c r="F36" s="39">
        <v>0.11805555555555557</v>
      </c>
      <c r="G36" s="37"/>
      <c r="H36" s="72">
        <f>F36-E36</f>
        <v>2.0833333333333343E-2</v>
      </c>
      <c r="I36" s="37"/>
      <c r="J36" s="73">
        <f t="shared" si="1"/>
        <v>30.000000000000014</v>
      </c>
      <c r="K36" s="37"/>
      <c r="L36" s="43" t="s">
        <v>30</v>
      </c>
    </row>
    <row r="37" spans="1:12" x14ac:dyDescent="0.35">
      <c r="A37" s="47"/>
      <c r="B37" s="37"/>
      <c r="C37" s="37"/>
      <c r="D37" s="37"/>
      <c r="E37" s="38"/>
      <c r="F37" s="39"/>
      <c r="G37" s="37"/>
      <c r="H37" s="77"/>
      <c r="I37" s="37"/>
      <c r="J37" s="78"/>
      <c r="K37" s="37"/>
      <c r="L37" s="79"/>
    </row>
    <row r="38" spans="1:12" x14ac:dyDescent="0.35">
      <c r="A38" s="47"/>
      <c r="B38" s="37"/>
      <c r="C38" s="37"/>
      <c r="D38" s="37"/>
      <c r="E38" s="38"/>
      <c r="F38" s="39"/>
      <c r="G38" s="37"/>
      <c r="H38" s="77"/>
      <c r="I38" s="37"/>
      <c r="J38" s="78"/>
      <c r="K38" s="37"/>
      <c r="L38" s="79"/>
    </row>
    <row r="39" spans="1:12" x14ac:dyDescent="0.35">
      <c r="A39" s="47"/>
      <c r="B39" s="37"/>
      <c r="C39" s="37"/>
      <c r="D39" s="37"/>
      <c r="E39" s="38"/>
      <c r="F39" s="39"/>
      <c r="G39" s="37"/>
      <c r="H39" s="77"/>
      <c r="I39" s="37"/>
      <c r="J39" s="78"/>
      <c r="K39" s="37"/>
      <c r="L39" s="79"/>
    </row>
    <row r="40" spans="1:12" x14ac:dyDescent="0.35">
      <c r="A40" s="47"/>
      <c r="B40" s="37"/>
      <c r="C40" s="37"/>
      <c r="D40" s="37"/>
      <c r="E40" s="38"/>
      <c r="F40" s="39"/>
      <c r="G40" s="37"/>
      <c r="H40" s="77"/>
      <c r="I40" s="37"/>
      <c r="J40" s="78"/>
      <c r="K40" s="37">
        <v>63</v>
      </c>
      <c r="L40" s="79"/>
    </row>
    <row r="41" spans="1:12" ht="43.5" customHeight="1" thickBot="1" x14ac:dyDescent="0.4">
      <c r="A41" s="31"/>
      <c r="B41" s="31"/>
      <c r="C41" s="31"/>
      <c r="D41" s="31"/>
      <c r="E41" s="66"/>
      <c r="F41" s="66"/>
      <c r="G41" s="31"/>
      <c r="H41" s="75">
        <f>J41/60</f>
        <v>75.61666666666666</v>
      </c>
      <c r="I41" s="31"/>
      <c r="J41" s="74">
        <f>SUM(J8:J40)</f>
        <v>4537</v>
      </c>
      <c r="K41" s="32">
        <f>SUM(K8:K40)</f>
        <v>63</v>
      </c>
      <c r="L41" s="32"/>
    </row>
    <row r="42" spans="1:12" x14ac:dyDescent="0.35">
      <c r="A42" s="26"/>
      <c r="B42" s="27"/>
      <c r="C42" s="27"/>
      <c r="D42" s="27"/>
      <c r="E42" s="67"/>
      <c r="F42" s="67" t="s">
        <v>22</v>
      </c>
      <c r="G42" s="27"/>
      <c r="H42" s="58"/>
      <c r="I42" s="27"/>
      <c r="J42" s="27">
        <f>J41/60</f>
        <v>75.61666666666666</v>
      </c>
      <c r="K42" s="27"/>
      <c r="L42" s="44"/>
    </row>
    <row r="43" spans="1:12" ht="21" x14ac:dyDescent="0.4">
      <c r="A43" s="28" t="s">
        <v>31</v>
      </c>
      <c r="B43" s="49">
        <f>K41/J42</f>
        <v>0.83314965836455812</v>
      </c>
      <c r="C43" s="29"/>
      <c r="D43" s="30"/>
      <c r="E43" s="68"/>
      <c r="F43" s="68" t="s">
        <v>6</v>
      </c>
      <c r="G43" s="30"/>
      <c r="H43" s="59"/>
      <c r="I43" s="30"/>
      <c r="J43" s="30"/>
      <c r="K43" s="30"/>
      <c r="L43" s="45"/>
    </row>
    <row r="44" spans="1:12" x14ac:dyDescent="0.35">
      <c r="A44" s="28"/>
      <c r="B44" s="30"/>
      <c r="C44" s="30"/>
      <c r="D44" s="30"/>
      <c r="E44" s="68"/>
      <c r="F44" s="68"/>
      <c r="G44" s="30"/>
      <c r="H44" s="59"/>
      <c r="I44" s="30"/>
      <c r="J44" s="30"/>
      <c r="K44" s="30"/>
      <c r="L44" s="45"/>
    </row>
    <row r="45" spans="1:12" ht="27" customHeight="1" x14ac:dyDescent="0.35">
      <c r="A45" s="10" t="s">
        <v>34</v>
      </c>
      <c r="B45" s="4" t="s">
        <v>28</v>
      </c>
      <c r="C45" s="4"/>
      <c r="D45" s="4"/>
      <c r="E45" s="63"/>
      <c r="F45" s="63"/>
      <c r="G45" s="4"/>
      <c r="H45" s="55"/>
      <c r="I45" s="4"/>
      <c r="J45" s="4"/>
      <c r="K45" s="4"/>
      <c r="L45" s="41"/>
    </row>
    <row r="46" spans="1:12" x14ac:dyDescent="0.35">
      <c r="A46" s="10"/>
      <c r="B46" s="4"/>
      <c r="C46" s="4"/>
      <c r="D46" s="4"/>
      <c r="E46" s="63"/>
      <c r="F46" s="63"/>
      <c r="G46" s="4"/>
      <c r="H46" s="55"/>
      <c r="I46" s="4"/>
      <c r="J46" s="4"/>
      <c r="K46" s="4"/>
      <c r="L46" s="41"/>
    </row>
    <row r="47" spans="1:12" ht="27" customHeight="1" x14ac:dyDescent="0.35">
      <c r="A47" s="10" t="s">
        <v>29</v>
      </c>
      <c r="B47" s="4"/>
      <c r="C47" s="4"/>
      <c r="D47" s="4"/>
      <c r="E47" s="63"/>
      <c r="F47" s="63"/>
      <c r="G47" s="4"/>
      <c r="H47" s="55"/>
      <c r="I47" s="4"/>
      <c r="J47" s="4"/>
      <c r="K47" s="4"/>
      <c r="L47" s="41"/>
    </row>
    <row r="48" spans="1:12" ht="18.600000000000001" thickBot="1" x14ac:dyDescent="0.4">
      <c r="A48" s="12"/>
      <c r="B48" s="13"/>
      <c r="C48" s="13"/>
      <c r="D48" s="13"/>
      <c r="E48" s="64"/>
      <c r="F48" s="64"/>
      <c r="G48" s="13"/>
      <c r="H48" s="56"/>
      <c r="I48" s="13"/>
      <c r="J48" s="13"/>
      <c r="K48" s="13"/>
      <c r="L48" s="42"/>
    </row>
  </sheetData>
  <pageMargins left="0.7" right="0.7" top="0.75" bottom="0.75" header="0.3" footer="0.3"/>
  <pageSetup paperSize="12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Sheet19</vt:lpstr>
      <vt:lpstr>Sheet20</vt:lpstr>
      <vt:lpstr>Sheet20!Print_Area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2025-03-10T12:49:42Z</cp:lastPrinted>
  <dcterms:created xsi:type="dcterms:W3CDTF">2019-08-03T06:53:23Z</dcterms:created>
  <dcterms:modified xsi:type="dcterms:W3CDTF">2025-10-19T12:16:49Z</dcterms:modified>
</cp:coreProperties>
</file>